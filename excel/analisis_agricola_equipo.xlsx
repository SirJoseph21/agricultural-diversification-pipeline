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bilidad" sheetId="1" state="visible" r:id="rId1"/>
    <sheet xmlns:r="http://schemas.openxmlformats.org/officeDocument/2006/relationships" name="Probabilidad" sheetId="2" state="visible" r:id="rId2"/>
    <sheet xmlns:r="http://schemas.openxmlformats.org/officeDocument/2006/relationships" name="Calculo Integral" sheetId="3" state="visible" r:id="rId3"/>
    <sheet xmlns:r="http://schemas.openxmlformats.org/officeDocument/2006/relationships" name="Resumen Integr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;($#,##0);-"/>
    <numFmt numFmtId="166" formatCode="0.0000%"/>
    <numFmt numFmtId="167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424242"/>
      <sz val="9"/>
    </font>
    <font>
      <name val="Arial"/>
      <b val="1"/>
      <color rgb="FFFFFFFF"/>
      <sz val="11"/>
    </font>
    <font>
      <name val="Arial"/>
      <b val="1"/>
      <sz val="10"/>
    </font>
    <font>
      <name val="Arial"/>
      <sz val="10"/>
    </font>
    <font>
      <name val="Arial"/>
      <color rgb="FF0000FF"/>
      <sz val="10"/>
    </font>
    <font>
      <name val="Arial"/>
      <i val="1"/>
      <color rgb="FF757575"/>
      <sz val="8"/>
    </font>
    <font>
      <name val="Arial"/>
      <color rgb="FF2E7D32"/>
      <sz val="10"/>
    </font>
    <font>
      <name val="Arial"/>
      <color rgb="FF1565C0"/>
      <sz val="10"/>
    </font>
    <font>
      <name val="Arial"/>
      <color rgb="FF6A1B9A"/>
      <sz val="10"/>
    </font>
  </fonts>
  <fills count="12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9C"/>
      </patternFill>
    </fill>
    <fill>
      <patternFill patternType="solid">
        <fgColor rgb="FFFFFFFF"/>
      </patternFill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37474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4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/>
    </xf>
    <xf numFmtId="165" fontId="5" fillId="5" borderId="1" applyAlignment="1" pivotButton="0" quotePrefix="0" xfId="0">
      <alignment horizontal="center"/>
    </xf>
    <xf numFmtId="4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66" fontId="5" fillId="7" borderId="1" applyAlignment="1" pivotButton="0" quotePrefix="0" xfId="0">
      <alignment horizontal="center" vertical="center"/>
    </xf>
    <xf numFmtId="167" fontId="5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6" fontId="5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4" fontId="5" fillId="9" borderId="1" applyAlignment="1" pivotButton="0" quotePrefix="0" xfId="0">
      <alignment horizontal="center" vertical="center"/>
    </xf>
    <xf numFmtId="4" fontId="5" fillId="9" borderId="1" applyAlignment="1" pivotButton="0" quotePrefix="0" xfId="0">
      <alignment horizontal="center"/>
    </xf>
    <xf numFmtId="164" fontId="5" fillId="9" borderId="1" applyAlignment="1" pivotButton="0" quotePrefix="0" xfId="0">
      <alignment horizontal="center"/>
    </xf>
    <xf numFmtId="165" fontId="5" fillId="9" borderId="1" applyAlignment="1" pivotButton="0" quotePrefix="0" xfId="0">
      <alignment horizontal="center"/>
    </xf>
    <xf numFmtId="0" fontId="1" fillId="1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165" fontId="8" fillId="11" borderId="1" applyAlignment="1" pivotButton="0" quotePrefix="0" xfId="0">
      <alignment horizontal="center"/>
    </xf>
    <xf numFmtId="165" fontId="9" fillId="11" borderId="1" applyAlignment="1" pivotButton="0" quotePrefix="0" xfId="0">
      <alignment horizontal="center"/>
    </xf>
    <xf numFmtId="4" fontId="10" fillId="11" borderId="1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165" fontId="8" fillId="5" borderId="1" applyAlignment="1" pivotButton="0" quotePrefix="0" xfId="0">
      <alignment horizontal="center"/>
    </xf>
    <xf numFmtId="165" fontId="9" fillId="5" borderId="1" applyAlignment="1" pivotButton="0" quotePrefix="0" xfId="0">
      <alignment horizontal="center"/>
    </xf>
    <xf numFmtId="4" fontId="1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16" customWidth="1" min="7" max="7"/>
    <col width="10" customWidth="1" min="8" max="8"/>
  </cols>
  <sheetData>
    <row r="1" ht="40" customHeight="1">
      <c r="A1" s="1" t="inlineStr">
        <is>
          <t>Análisis Financiero por Cultivo — Contabilidad Financiera</t>
        </is>
      </c>
    </row>
    <row r="2" ht="30" customHeight="1">
      <c r="A2" s="2" t="inlineStr">
        <is>
          <t>Celdas en AZUL = datos del SIAP (no modificar)  |  Celdas en AMARILLO = llenar con precios investigados</t>
        </is>
      </c>
    </row>
    <row r="3">
      <c r="A3" s="3" t="inlineStr">
        <is>
          <t>Cultivo</t>
        </is>
      </c>
      <c r="B3" s="3" t="inlineStr">
        <is>
          <t>Rendimiento
(ton/ha)</t>
        </is>
      </c>
      <c r="C3" s="3" t="inlineStr">
        <is>
          <t>Precio/ton
()*</t>
        </is>
      </c>
      <c r="D3" s="3" t="inlineStr">
        <is>
          <t>Ingreso Bruto
($/ha)</t>
        </is>
      </c>
      <c r="E3" s="3" t="inlineStr">
        <is>
          <t>Costo Prod.
($/ha)*</t>
        </is>
      </c>
      <c r="F3" s="3" t="inlineStr">
        <is>
          <t>Margen Bruto
($/ha)</t>
        </is>
      </c>
      <c r="G3" s="3" t="inlineStr">
        <is>
          <t>Pto. Equilibrio
(ton)</t>
        </is>
      </c>
      <c r="H3" s="3" t="inlineStr">
        <is>
          <t>Viable</t>
        </is>
      </c>
    </row>
    <row r="4">
      <c r="A4" s="4" t="inlineStr">
        <is>
          <t>Maíz grano</t>
        </is>
      </c>
      <c r="B4" s="5" t="n">
        <v>3.52</v>
      </c>
      <c r="C4" s="6" t="n">
        <v>4800</v>
      </c>
      <c r="D4" s="7">
        <f>B4*C4</f>
        <v/>
      </c>
      <c r="E4" s="6" t="n">
        <v>15000</v>
      </c>
      <c r="F4" s="8">
        <f>D4-E4</f>
        <v/>
      </c>
      <c r="G4" s="9">
        <f>IFERROR(E4/C4,0)</f>
        <v/>
      </c>
      <c r="H4" s="10">
        <f>IF(F4&gt;0,"✓ Sí","✗ No")</f>
        <v/>
      </c>
    </row>
    <row r="5">
      <c r="A5" s="11" t="inlineStr">
        <is>
          <t>Tomate rojo (jitomate)</t>
        </is>
      </c>
      <c r="B5" s="12" t="n">
        <v>68.68000000000001</v>
      </c>
      <c r="C5" s="6" t="n">
        <v>8000</v>
      </c>
      <c r="D5" s="13">
        <f>B5*C5</f>
        <v/>
      </c>
      <c r="E5" s="6" t="n">
        <v>120000</v>
      </c>
      <c r="F5" s="14">
        <f>D5-E5</f>
        <v/>
      </c>
      <c r="G5" s="15">
        <f>IFERROR(E5/C5,0)</f>
        <v/>
      </c>
      <c r="H5" s="16">
        <f>IF(F5&gt;0,"✓ Sí","✗ No")</f>
        <v/>
      </c>
    </row>
    <row r="6">
      <c r="A6" s="4" t="inlineStr">
        <is>
          <t>Aguacate</t>
        </is>
      </c>
      <c r="B6" s="5" t="n">
        <v>10.65</v>
      </c>
      <c r="C6" s="6" t="n">
        <v>25000</v>
      </c>
      <c r="D6" s="7">
        <f>B6*C6</f>
        <v/>
      </c>
      <c r="E6" s="6" t="n">
        <v>45000</v>
      </c>
      <c r="F6" s="8">
        <f>D6-E6</f>
        <v/>
      </c>
      <c r="G6" s="9">
        <f>IFERROR(E6/C6,0)</f>
        <v/>
      </c>
      <c r="H6" s="10">
        <f>IF(F6&gt;0,"✓ Sí","✗ No")</f>
        <v/>
      </c>
    </row>
    <row r="7">
      <c r="A7" s="11" t="inlineStr">
        <is>
          <t>Chile verde</t>
        </is>
      </c>
      <c r="B7" s="12" t="n">
        <v>20.15</v>
      </c>
      <c r="C7" s="6" t="n">
        <v>6000</v>
      </c>
      <c r="D7" s="13">
        <f>B7*C7</f>
        <v/>
      </c>
      <c r="E7" s="6" t="n">
        <v>35000</v>
      </c>
      <c r="F7" s="14">
        <f>D7-E7</f>
        <v/>
      </c>
      <c r="G7" s="15">
        <f>IFERROR(E7/C7,0)</f>
        <v/>
      </c>
      <c r="H7" s="16">
        <f>IF(F7&gt;0,"✓ Sí","✗ No")</f>
        <v/>
      </c>
    </row>
    <row r="8">
      <c r="A8" s="4" t="inlineStr">
        <is>
          <t>Frijol</t>
        </is>
      </c>
      <c r="B8" s="5" t="n">
        <v>0.89</v>
      </c>
      <c r="C8" s="6" t="n">
        <v>9000</v>
      </c>
      <c r="D8" s="7">
        <f>B8*C8</f>
        <v/>
      </c>
      <c r="E8" s="6" t="n">
        <v>18000</v>
      </c>
      <c r="F8" s="8">
        <f>D8-E8</f>
        <v/>
      </c>
      <c r="G8" s="9">
        <f>IFERROR(E8/C8,0)</f>
        <v/>
      </c>
      <c r="H8" s="10">
        <f>IF(F8&gt;0,"✓ Sí","✗ No")</f>
        <v/>
      </c>
    </row>
    <row r="9">
      <c r="A9" s="11" t="inlineStr">
        <is>
          <t>Papa</t>
        </is>
      </c>
      <c r="B9" s="12" t="n">
        <v>32.33</v>
      </c>
      <c r="C9" s="6" t="n">
        <v>4500</v>
      </c>
      <c r="D9" s="13">
        <f>B9*C9</f>
        <v/>
      </c>
      <c r="E9" s="6" t="n">
        <v>40000</v>
      </c>
      <c r="F9" s="14">
        <f>D9-E9</f>
        <v/>
      </c>
      <c r="G9" s="15">
        <f>IFERROR(E9/C9,0)</f>
        <v/>
      </c>
      <c r="H9" s="16">
        <f>IF(F9&gt;0,"✓ Sí","✗ No")</f>
        <v/>
      </c>
    </row>
    <row r="10">
      <c r="A10" s="4" t="inlineStr">
        <is>
          <t>Cebolla</t>
        </is>
      </c>
      <c r="B10" s="5" t="n">
        <v>30.89</v>
      </c>
      <c r="C10" s="6" t="n">
        <v>3500</v>
      </c>
      <c r="D10" s="7">
        <f>B10*C10</f>
        <v/>
      </c>
      <c r="E10" s="6" t="n">
        <v>25000</v>
      </c>
      <c r="F10" s="8">
        <f>D10-E10</f>
        <v/>
      </c>
      <c r="G10" s="9">
        <f>IFERROR(E10/C10,0)</f>
        <v/>
      </c>
      <c r="H10" s="10">
        <f>IF(F10&gt;0,"✓ Sí","✗ No")</f>
        <v/>
      </c>
    </row>
    <row r="11">
      <c r="A11" s="11" t="inlineStr">
        <is>
          <t>Espárrago</t>
        </is>
      </c>
      <c r="B11" s="12" t="n">
        <v>8.66</v>
      </c>
      <c r="C11" s="6" t="n">
        <v>30000</v>
      </c>
      <c r="D11" s="13">
        <f>B11*C11</f>
        <v/>
      </c>
      <c r="E11" s="6" t="n">
        <v>60000</v>
      </c>
      <c r="F11" s="14">
        <f>D11-E11</f>
        <v/>
      </c>
      <c r="G11" s="15">
        <f>IFERROR(E11/C11,0)</f>
        <v/>
      </c>
      <c r="H11" s="16">
        <f>IF(F11&gt;0,"✓ Sí","✗ No")</f>
        <v/>
      </c>
    </row>
    <row r="12">
      <c r="A12" s="4" t="inlineStr">
        <is>
          <t>Brócoli</t>
        </is>
      </c>
      <c r="B12" s="5" t="n">
        <v>17.37</v>
      </c>
      <c r="C12" s="6" t="n">
        <v>5000</v>
      </c>
      <c r="D12" s="7">
        <f>B12*C12</f>
        <v/>
      </c>
      <c r="E12" s="6" t="n">
        <v>30000</v>
      </c>
      <c r="F12" s="8">
        <f>D12-E12</f>
        <v/>
      </c>
      <c r="G12" s="9">
        <f>IFERROR(E12/C12,0)</f>
        <v/>
      </c>
      <c r="H12" s="10">
        <f>IF(F12&gt;0,"✓ Sí","✗ No")</f>
        <v/>
      </c>
    </row>
    <row r="13">
      <c r="A13" s="11" t="inlineStr">
        <is>
          <t>Naranja</t>
        </is>
      </c>
      <c r="B13" s="12" t="n">
        <v>13.46</v>
      </c>
      <c r="C13" s="6" t="n">
        <v>3000</v>
      </c>
      <c r="D13" s="13">
        <f>B13*C13</f>
        <v/>
      </c>
      <c r="E13" s="6" t="n">
        <v>20000</v>
      </c>
      <c r="F13" s="14">
        <f>D13-E13</f>
        <v/>
      </c>
      <c r="G13" s="15">
        <f>IFERROR(E13/C13,0)</f>
        <v/>
      </c>
      <c r="H13" s="16">
        <f>IF(F13&gt;0,"✓ Sí","✗ No")</f>
        <v/>
      </c>
    </row>
    <row r="15">
      <c r="A15" s="17" t="inlineStr">
        <is>
          <t>* Precios referencia: SADER precios medios rurales 2025 | Costos referencia: FIRA costos de producción 2025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3" customWidth="1" min="4" max="4"/>
    <col width="16" customWidth="1" min="5" max="5"/>
    <col width="20" customWidth="1" min="6" max="6"/>
    <col width="18" customWidth="1" min="7" max="7"/>
  </cols>
  <sheetData>
    <row r="1" ht="40" customHeight="1">
      <c r="A1" s="18" t="inlineStr">
        <is>
          <t>Análisis de Riesgo por Cultivo — Probabilidad</t>
        </is>
      </c>
    </row>
    <row r="2" ht="25" customHeight="1">
      <c r="A2" s="2" t="inlineStr">
        <is>
          <t>P(pérdida) se calcula desde tasa de siniestro del SIAP  |  Ingreso bruto viene de hoja Contabilidad</t>
        </is>
      </c>
    </row>
    <row r="3">
      <c r="A3" s="19" t="inlineStr">
        <is>
          <t>Cultivo</t>
        </is>
      </c>
      <c r="B3" s="19" t="inlineStr">
        <is>
          <t>Tasa Siniestro
(%)</t>
        </is>
      </c>
      <c r="C3" s="19" t="inlineStr">
        <is>
          <t>P(pérdida)</t>
        </is>
      </c>
      <c r="D3" s="19" t="inlineStr">
        <is>
          <t>P(éxito)</t>
        </is>
      </c>
      <c r="E3" s="19" t="inlineStr">
        <is>
          <t>Ingreso Bruto
($/ha)</t>
        </is>
      </c>
      <c r="F3" s="19" t="inlineStr">
        <is>
          <t>Valor Esperado
Utilidad ($/ha)</t>
        </is>
      </c>
      <c r="G3" s="19" t="inlineStr">
        <is>
          <t>Clasificación
Riesgo</t>
        </is>
      </c>
    </row>
    <row r="4">
      <c r="A4" s="20" t="inlineStr">
        <is>
          <t>Maíz grano</t>
        </is>
      </c>
      <c r="B4" s="21" t="n">
        <v>0.012573</v>
      </c>
      <c r="C4" s="22">
        <f>B4</f>
        <v/>
      </c>
      <c r="D4" s="22">
        <f>1-C4</f>
        <v/>
      </c>
      <c r="E4" s="23" t="n">
        <v>16896</v>
      </c>
      <c r="F4" s="24">
        <f>D4*E4-15000</f>
        <v/>
      </c>
      <c r="G4" s="25">
        <f>IF(AND(C4&lt;0.02,E4&gt;50000),"Alto rend. / Bajo riesgo",IF(AND(C4&lt;0.02,E4&lt;=50000),"Bajo rend. / Bajo riesgo",IF(AND(C4&gt;=0.02,E4&gt;50000),"Alto rend. / Alto riesgo","Bajo rend. / Alto riesgo")))</f>
        <v/>
      </c>
    </row>
    <row r="5">
      <c r="A5" s="11" t="inlineStr">
        <is>
          <t>Tomate rojo (jitomate)</t>
        </is>
      </c>
      <c r="B5" s="26" t="n">
        <v>0.006536999999999999</v>
      </c>
      <c r="C5" s="27">
        <f>B5</f>
        <v/>
      </c>
      <c r="D5" s="27">
        <f>1-C5</f>
        <v/>
      </c>
      <c r="E5" s="28" t="n">
        <v>549440</v>
      </c>
      <c r="F5" s="14">
        <f>D5*E5-120000</f>
        <v/>
      </c>
      <c r="G5" s="16">
        <f>IF(AND(C5&lt;0.02,E5&gt;50000),"Alto rend. / Bajo riesgo",IF(AND(C5&lt;0.02,E5&lt;=50000),"Bajo rend. / Bajo riesgo",IF(AND(C5&gt;=0.02,E5&gt;50000),"Alto rend. / Alto riesgo","Bajo rend. / Alto riesgo")))</f>
        <v/>
      </c>
    </row>
    <row r="6">
      <c r="A6" s="20" t="inlineStr">
        <is>
          <t>Aguacate</t>
        </is>
      </c>
      <c r="B6" s="21" t="n">
        <v>3.7e-05</v>
      </c>
      <c r="C6" s="22">
        <f>B6</f>
        <v/>
      </c>
      <c r="D6" s="22">
        <f>1-C6</f>
        <v/>
      </c>
      <c r="E6" s="23" t="n">
        <v>266250</v>
      </c>
      <c r="F6" s="24">
        <f>D6*E6-45000</f>
        <v/>
      </c>
      <c r="G6" s="25">
        <f>IF(AND(C6&lt;0.02,E6&gt;50000),"Alto rend. / Bajo riesgo",IF(AND(C6&lt;0.02,E6&lt;=50000),"Bajo rend. / Bajo riesgo",IF(AND(C6&gt;=0.02,E6&gt;50000),"Alto rend. / Alto riesgo","Bajo rend. / Alto riesgo")))</f>
        <v/>
      </c>
    </row>
    <row r="7">
      <c r="A7" s="11" t="inlineStr">
        <is>
          <t>Chile verde</t>
        </is>
      </c>
      <c r="B7" s="26" t="n">
        <v>0.002798</v>
      </c>
      <c r="C7" s="27">
        <f>B7</f>
        <v/>
      </c>
      <c r="D7" s="27">
        <f>1-C7</f>
        <v/>
      </c>
      <c r="E7" s="28" t="n">
        <v>120900</v>
      </c>
      <c r="F7" s="14">
        <f>D7*E7-35000</f>
        <v/>
      </c>
      <c r="G7" s="16">
        <f>IF(AND(C7&lt;0.02,E7&gt;50000),"Alto rend. / Bajo riesgo",IF(AND(C7&lt;0.02,E7&lt;=50000),"Bajo rend. / Bajo riesgo",IF(AND(C7&gt;=0.02,E7&gt;50000),"Alto rend. / Alto riesgo","Bajo rend. / Alto riesgo")))</f>
        <v/>
      </c>
    </row>
    <row r="8">
      <c r="A8" s="20" t="inlineStr">
        <is>
          <t>Frijol</t>
        </is>
      </c>
      <c r="B8" s="21" t="n">
        <v>0.009728000000000001</v>
      </c>
      <c r="C8" s="22">
        <f>B8</f>
        <v/>
      </c>
      <c r="D8" s="22">
        <f>1-C8</f>
        <v/>
      </c>
      <c r="E8" s="23" t="n">
        <v>8010</v>
      </c>
      <c r="F8" s="24">
        <f>D8*E8-18000</f>
        <v/>
      </c>
      <c r="G8" s="25">
        <f>IF(AND(C8&lt;0.02,E8&gt;50000),"Alto rend. / Bajo riesgo",IF(AND(C8&lt;0.02,E8&lt;=50000),"Bajo rend. / Bajo riesgo",IF(AND(C8&gt;=0.02,E8&gt;50000),"Alto rend. / Alto riesgo","Bajo rend. / Alto riesgo")))</f>
        <v/>
      </c>
    </row>
    <row r="9">
      <c r="A9" s="11" t="inlineStr">
        <is>
          <t>Papa</t>
        </is>
      </c>
      <c r="B9" s="26" t="n">
        <v>0.000799</v>
      </c>
      <c r="C9" s="27">
        <f>B9</f>
        <v/>
      </c>
      <c r="D9" s="27">
        <f>1-C9</f>
        <v/>
      </c>
      <c r="E9" s="28" t="n">
        <v>145485</v>
      </c>
      <c r="F9" s="14">
        <f>D9*E9-40000</f>
        <v/>
      </c>
      <c r="G9" s="16">
        <f>IF(AND(C9&lt;0.02,E9&gt;50000),"Alto rend. / Bajo riesgo",IF(AND(C9&lt;0.02,E9&lt;=50000),"Bajo rend. / Bajo riesgo",IF(AND(C9&gt;=0.02,E9&gt;50000),"Alto rend. / Alto riesgo","Bajo rend. / Alto riesgo")))</f>
        <v/>
      </c>
    </row>
    <row r="10">
      <c r="A10" s="20" t="inlineStr">
        <is>
          <t>Cebolla</t>
        </is>
      </c>
      <c r="B10" s="21" t="n">
        <v>0.004759</v>
      </c>
      <c r="C10" s="22">
        <f>B10</f>
        <v/>
      </c>
      <c r="D10" s="22">
        <f>1-C10</f>
        <v/>
      </c>
      <c r="E10" s="23" t="n">
        <v>108115</v>
      </c>
      <c r="F10" s="24">
        <f>D10*E10-25000</f>
        <v/>
      </c>
      <c r="G10" s="25">
        <f>IF(AND(C10&lt;0.02,E10&gt;50000),"Alto rend. / Bajo riesgo",IF(AND(C10&lt;0.02,E10&lt;=50000),"Bajo rend. / Bajo riesgo",IF(AND(C10&gt;=0.02,E10&gt;50000),"Alto rend. / Alto riesgo","Bajo rend. / Alto riesgo")))</f>
        <v/>
      </c>
    </row>
    <row r="11">
      <c r="A11" s="11" t="inlineStr">
        <is>
          <t>Espárrago</t>
        </is>
      </c>
      <c r="B11" s="26" t="n">
        <v>0.000326</v>
      </c>
      <c r="C11" s="27">
        <f>B11</f>
        <v/>
      </c>
      <c r="D11" s="27">
        <f>1-C11</f>
        <v/>
      </c>
      <c r="E11" s="28" t="n">
        <v>259800</v>
      </c>
      <c r="F11" s="14">
        <f>D11*E11-60000</f>
        <v/>
      </c>
      <c r="G11" s="16">
        <f>IF(AND(C11&lt;0.02,E11&gt;50000),"Alto rend. / Bajo riesgo",IF(AND(C11&lt;0.02,E11&lt;=50000),"Bajo rend. / Bajo riesgo",IF(AND(C11&gt;=0.02,E11&gt;50000),"Alto rend. / Alto riesgo","Bajo rend. / Alto riesgo")))</f>
        <v/>
      </c>
    </row>
    <row r="12">
      <c r="A12" s="20" t="inlineStr">
        <is>
          <t>Brócoli</t>
        </is>
      </c>
      <c r="B12" s="21" t="n">
        <v>0.010185</v>
      </c>
      <c r="C12" s="22">
        <f>B12</f>
        <v/>
      </c>
      <c r="D12" s="22">
        <f>1-C12</f>
        <v/>
      </c>
      <c r="E12" s="23" t="n">
        <v>86850</v>
      </c>
      <c r="F12" s="24">
        <f>D12*E12-30000</f>
        <v/>
      </c>
      <c r="G12" s="25">
        <f>IF(AND(C12&lt;0.02,E12&gt;50000),"Alto rend. / Bajo riesgo",IF(AND(C12&lt;0.02,E12&lt;=50000),"Bajo rend. / Bajo riesgo",IF(AND(C12&gt;=0.02,E12&gt;50000),"Alto rend. / Alto riesgo","Bajo rend. / Alto riesgo")))</f>
        <v/>
      </c>
    </row>
    <row r="13">
      <c r="A13" s="11" t="inlineStr">
        <is>
          <t>Naranja</t>
        </is>
      </c>
      <c r="B13" s="26" t="n">
        <v>0.000151</v>
      </c>
      <c r="C13" s="27">
        <f>B13</f>
        <v/>
      </c>
      <c r="D13" s="27">
        <f>1-C13</f>
        <v/>
      </c>
      <c r="E13" s="28" t="n">
        <v>40380</v>
      </c>
      <c r="F13" s="14">
        <f>D13*E13-20000</f>
        <v/>
      </c>
      <c r="G13" s="16">
        <f>IF(AND(C13&lt;0.02,E13&gt;50000),"Alto rend. / Bajo riesgo",IF(AND(C13&lt;0.02,E13&lt;=50000),"Bajo rend. / Bajo riesgo",IF(AND(C13&gt;=0.02,E13&gt;50000),"Alto rend. / Alto riesgo","Bajo rend. / Alto riesgo")))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29" t="inlineStr">
        <is>
          <t>Modelo de Producción Acumulada — Cálculo Integral</t>
        </is>
      </c>
    </row>
    <row r="2" ht="25" customHeight="1">
      <c r="A2" s="2" t="inlineStr">
        <is>
          <t>Modelo: f(t) = a·t  donde a = producción_total/12  |  Integral definida de 0 a 12 meses</t>
        </is>
      </c>
    </row>
    <row r="3">
      <c r="A3" s="30" t="inlineStr">
        <is>
          <t>Cultivo</t>
        </is>
      </c>
      <c r="B3" s="30" t="inlineStr">
        <is>
          <t>Producción
Total (ton)</t>
        </is>
      </c>
      <c r="C3" s="30" t="inlineStr">
        <is>
          <t>a = Prod/12
(ton/mes)</t>
        </is>
      </c>
      <c r="D3" s="30" t="inlineStr">
        <is>
          <t>Integral
∫₀¹² a·t dt</t>
        </is>
      </c>
      <c r="E3" s="30" t="inlineStr">
        <is>
          <t>Costo Marginal
($/ha)*</t>
        </is>
      </c>
      <c r="F3" s="30" t="inlineStr">
        <is>
          <t>Costo Total
∫ Cmg dx</t>
        </is>
      </c>
      <c r="G3" s="30" t="inlineStr">
        <is>
          <t>Excedente
Productor</t>
        </is>
      </c>
    </row>
    <row r="4">
      <c r="A4" s="31" t="inlineStr">
        <is>
          <t>Maíz grano</t>
        </is>
      </c>
      <c r="B4" s="32" t="n">
        <v>18998771.09</v>
      </c>
      <c r="C4" s="33">
        <f>B4/12</f>
        <v/>
      </c>
      <c r="D4" s="33">
        <f>C4*72</f>
        <v/>
      </c>
      <c r="E4" s="6" t="n">
        <v>15000</v>
      </c>
      <c r="F4" s="34">
        <f>E4*1</f>
        <v/>
      </c>
      <c r="G4" s="35">
        <f>D4*0.0048-F4</f>
        <v/>
      </c>
    </row>
    <row r="5">
      <c r="A5" s="11" t="inlineStr">
        <is>
          <t>Tomate rojo (jitomate)</t>
        </is>
      </c>
      <c r="B5" s="12" t="n">
        <v>2807090.03</v>
      </c>
      <c r="C5" s="15">
        <f>B5/12</f>
        <v/>
      </c>
      <c r="D5" s="15">
        <f>C5*72</f>
        <v/>
      </c>
      <c r="E5" s="6" t="n">
        <v>120000</v>
      </c>
      <c r="F5" s="13">
        <f>E5*1</f>
        <v/>
      </c>
      <c r="G5" s="14">
        <f>D5*0.0080-F5</f>
        <v/>
      </c>
    </row>
    <row r="6">
      <c r="A6" s="31" t="inlineStr">
        <is>
          <t>Aguacate</t>
        </is>
      </c>
      <c r="B6" s="32" t="n">
        <v>2725079.59</v>
      </c>
      <c r="C6" s="33">
        <f>B6/12</f>
        <v/>
      </c>
      <c r="D6" s="33">
        <f>C6*72</f>
        <v/>
      </c>
      <c r="E6" s="6" t="n">
        <v>45000</v>
      </c>
      <c r="F6" s="34">
        <f>E6*1</f>
        <v/>
      </c>
      <c r="G6" s="35">
        <f>D6*0.0250-F6</f>
        <v/>
      </c>
    </row>
    <row r="7">
      <c r="A7" s="11" t="inlineStr">
        <is>
          <t>Chile verde</t>
        </is>
      </c>
      <c r="B7" s="12" t="n">
        <v>2847967.81</v>
      </c>
      <c r="C7" s="15">
        <f>B7/12</f>
        <v/>
      </c>
      <c r="D7" s="15">
        <f>C7*72</f>
        <v/>
      </c>
      <c r="E7" s="6" t="n">
        <v>35000</v>
      </c>
      <c r="F7" s="13">
        <f>E7*1</f>
        <v/>
      </c>
      <c r="G7" s="14">
        <f>D7*0.0060-F7</f>
        <v/>
      </c>
    </row>
    <row r="8">
      <c r="A8" s="31" t="inlineStr">
        <is>
          <t>Frijol</t>
        </is>
      </c>
      <c r="B8" s="32" t="n">
        <v>1121513.81</v>
      </c>
      <c r="C8" s="33">
        <f>B8/12</f>
        <v/>
      </c>
      <c r="D8" s="33">
        <f>C8*72</f>
        <v/>
      </c>
      <c r="E8" s="6" t="n">
        <v>18000</v>
      </c>
      <c r="F8" s="34">
        <f>E8*1</f>
        <v/>
      </c>
      <c r="G8" s="35">
        <f>D8*0.0090-F8</f>
        <v/>
      </c>
    </row>
    <row r="9">
      <c r="A9" s="11" t="inlineStr">
        <is>
          <t>Papa</t>
        </is>
      </c>
      <c r="B9" s="12" t="n">
        <v>2161843.56</v>
      </c>
      <c r="C9" s="15">
        <f>B9/12</f>
        <v/>
      </c>
      <c r="D9" s="15">
        <f>C9*72</f>
        <v/>
      </c>
      <c r="E9" s="6" t="n">
        <v>40000</v>
      </c>
      <c r="F9" s="13">
        <f>E9*1</f>
        <v/>
      </c>
      <c r="G9" s="14">
        <f>D9*0.0045-F9</f>
        <v/>
      </c>
    </row>
    <row r="10">
      <c r="A10" s="31" t="inlineStr">
        <is>
          <t>Cebolla</t>
        </is>
      </c>
      <c r="B10" s="32" t="n">
        <v>1368238.71</v>
      </c>
      <c r="C10" s="33">
        <f>B10/12</f>
        <v/>
      </c>
      <c r="D10" s="33">
        <f>C10*72</f>
        <v/>
      </c>
      <c r="E10" s="6" t="n">
        <v>25000</v>
      </c>
      <c r="F10" s="34">
        <f>E10*1</f>
        <v/>
      </c>
      <c r="G10" s="35">
        <f>D10*0.0035-F10</f>
        <v/>
      </c>
    </row>
    <row r="11">
      <c r="A11" s="11" t="inlineStr">
        <is>
          <t>Espárrago</t>
        </is>
      </c>
      <c r="B11" s="12" t="n">
        <v>287592.75</v>
      </c>
      <c r="C11" s="15">
        <f>B11/12</f>
        <v/>
      </c>
      <c r="D11" s="15">
        <f>C11*72</f>
        <v/>
      </c>
      <c r="E11" s="6" t="n">
        <v>60000</v>
      </c>
      <c r="F11" s="13">
        <f>E11*1</f>
        <v/>
      </c>
      <c r="G11" s="14">
        <f>D11*0.0300-F11</f>
        <v/>
      </c>
    </row>
    <row r="12">
      <c r="A12" s="31" t="inlineStr">
        <is>
          <t>Brócoli</t>
        </is>
      </c>
      <c r="B12" s="32" t="n">
        <v>551627.88</v>
      </c>
      <c r="C12" s="33">
        <f>B12/12</f>
        <v/>
      </c>
      <c r="D12" s="33">
        <f>C12*72</f>
        <v/>
      </c>
      <c r="E12" s="6" t="n">
        <v>30000</v>
      </c>
      <c r="F12" s="34">
        <f>E12*1</f>
        <v/>
      </c>
      <c r="G12" s="35">
        <f>D12*0.0050-F12</f>
        <v/>
      </c>
    </row>
    <row r="13">
      <c r="A13" s="11" t="inlineStr">
        <is>
          <t>Naranja</t>
        </is>
      </c>
      <c r="B13" s="12" t="n">
        <v>4627370.07</v>
      </c>
      <c r="C13" s="15">
        <f>B13/12</f>
        <v/>
      </c>
      <c r="D13" s="15">
        <f>C13*72</f>
        <v/>
      </c>
      <c r="E13" s="6" t="n">
        <v>20000</v>
      </c>
      <c r="F13" s="13">
        <f>E13*1</f>
        <v/>
      </c>
      <c r="G13" s="14">
        <f>D13*0.0030-F13</f>
        <v/>
      </c>
    </row>
    <row r="15">
      <c r="A15" s="17" t="inlineStr">
        <is>
          <t>* Modelo simplificado f(t)=a·t para ciclo de 12 meses | ∫₀¹² a·t dt = a·(12²/2) = 72a | Verificar con GeoGebra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12" customWidth="1" min="5" max="5"/>
    <col width="18" customWidth="1" min="6" max="6"/>
  </cols>
  <sheetData>
    <row r="1" ht="40" customHeight="1">
      <c r="A1" s="36" t="inlineStr">
        <is>
          <t>Resumen Integrado — Recomendación de Cultivos</t>
        </is>
      </c>
    </row>
    <row r="3">
      <c r="A3" s="37" t="inlineStr">
        <is>
          <t>Cultivo</t>
        </is>
      </c>
      <c r="B3" s="37" t="inlineStr">
        <is>
          <t>Margen Bruto
(Contabilidad)</t>
        </is>
      </c>
      <c r="C3" s="37" t="inlineStr">
        <is>
          <t>Valor Esperado
(Probabilidad)</t>
        </is>
      </c>
      <c r="D3" s="37" t="inlineStr">
        <is>
          <t>Prod. Acumulada
(Cálculo)</t>
        </is>
      </c>
      <c r="E3" s="37" t="inlineStr">
        <is>
          <t>Score
General</t>
        </is>
      </c>
      <c r="F3" s="37" t="inlineStr">
        <is>
          <t>Recomendación</t>
        </is>
      </c>
    </row>
    <row r="4">
      <c r="A4" s="38" t="inlineStr">
        <is>
          <t>Maíz grano</t>
        </is>
      </c>
      <c r="B4" s="39">
        <f>Contabilidad!F4</f>
        <v/>
      </c>
      <c r="C4" s="40">
        <f>Probabilidad!F4</f>
        <v/>
      </c>
      <c r="D4" s="41">
        <f>"Calculo Integral"!D4</f>
        <v/>
      </c>
      <c r="E4" s="42">
        <f>RANK(B4,B4:B13,0)</f>
        <v/>
      </c>
      <c r="F4" s="43">
        <f>IF(E4&lt;=3,"Alta prioridad",IF(E4&lt;=6,"Media prioridad","Baja prioridad"))</f>
        <v/>
      </c>
    </row>
    <row r="5">
      <c r="A5" s="11" t="inlineStr">
        <is>
          <t>Tomate rojo (jitomate)</t>
        </is>
      </c>
      <c r="B5" s="44">
        <f>Contabilidad!F5</f>
        <v/>
      </c>
      <c r="C5" s="45">
        <f>Probabilidad!F5</f>
        <v/>
      </c>
      <c r="D5" s="46">
        <f>"Calculo Integral"!D5</f>
        <v/>
      </c>
      <c r="E5" s="47">
        <f>RANK(B5,B4:B13,0)</f>
        <v/>
      </c>
      <c r="F5" s="16">
        <f>IF(E5&lt;=3,"Alta prioridad",IF(E5&lt;=6,"Media prioridad","Baja prioridad"))</f>
        <v/>
      </c>
    </row>
    <row r="6">
      <c r="A6" s="38" t="inlineStr">
        <is>
          <t>Aguacate</t>
        </is>
      </c>
      <c r="B6" s="39">
        <f>Contabilidad!F6</f>
        <v/>
      </c>
      <c r="C6" s="40">
        <f>Probabilidad!F6</f>
        <v/>
      </c>
      <c r="D6" s="41">
        <f>"Calculo Integral"!D6</f>
        <v/>
      </c>
      <c r="E6" s="42">
        <f>RANK(B6,B4:B13,0)</f>
        <v/>
      </c>
      <c r="F6" s="43">
        <f>IF(E6&lt;=3,"Alta prioridad",IF(E6&lt;=6,"Media prioridad","Baja prioridad"))</f>
        <v/>
      </c>
    </row>
    <row r="7">
      <c r="A7" s="11" t="inlineStr">
        <is>
          <t>Chile verde</t>
        </is>
      </c>
      <c r="B7" s="44">
        <f>Contabilidad!F7</f>
        <v/>
      </c>
      <c r="C7" s="45">
        <f>Probabilidad!F7</f>
        <v/>
      </c>
      <c r="D7" s="46">
        <f>"Calculo Integral"!D7</f>
        <v/>
      </c>
      <c r="E7" s="47">
        <f>RANK(B7,B4:B13,0)</f>
        <v/>
      </c>
      <c r="F7" s="16">
        <f>IF(E7&lt;=3,"Alta prioridad",IF(E7&lt;=6,"Media prioridad","Baja prioridad"))</f>
        <v/>
      </c>
    </row>
    <row r="8">
      <c r="A8" s="38" t="inlineStr">
        <is>
          <t>Frijol</t>
        </is>
      </c>
      <c r="B8" s="39">
        <f>Contabilidad!F8</f>
        <v/>
      </c>
      <c r="C8" s="40">
        <f>Probabilidad!F8</f>
        <v/>
      </c>
      <c r="D8" s="41">
        <f>"Calculo Integral"!D8</f>
        <v/>
      </c>
      <c r="E8" s="42">
        <f>RANK(B8,B4:B13,0)</f>
        <v/>
      </c>
      <c r="F8" s="43">
        <f>IF(E8&lt;=3,"Alta prioridad",IF(E8&lt;=6,"Media prioridad","Baja prioridad"))</f>
        <v/>
      </c>
    </row>
    <row r="9">
      <c r="A9" s="11" t="inlineStr">
        <is>
          <t>Papa</t>
        </is>
      </c>
      <c r="B9" s="44">
        <f>Contabilidad!F9</f>
        <v/>
      </c>
      <c r="C9" s="45">
        <f>Probabilidad!F9</f>
        <v/>
      </c>
      <c r="D9" s="46">
        <f>"Calculo Integral"!D9</f>
        <v/>
      </c>
      <c r="E9" s="47">
        <f>RANK(B9,B4:B13,0)</f>
        <v/>
      </c>
      <c r="F9" s="16">
        <f>IF(E9&lt;=3,"Alta prioridad",IF(E9&lt;=6,"Media prioridad","Baja prioridad"))</f>
        <v/>
      </c>
    </row>
    <row r="10">
      <c r="A10" s="38" t="inlineStr">
        <is>
          <t>Cebolla</t>
        </is>
      </c>
      <c r="B10" s="39">
        <f>Contabilidad!F10</f>
        <v/>
      </c>
      <c r="C10" s="40">
        <f>Probabilidad!F10</f>
        <v/>
      </c>
      <c r="D10" s="41">
        <f>"Calculo Integral"!D10</f>
        <v/>
      </c>
      <c r="E10" s="42">
        <f>RANK(B10,B4:B13,0)</f>
        <v/>
      </c>
      <c r="F10" s="43">
        <f>IF(E10&lt;=3,"Alta prioridad",IF(E10&lt;=6,"Media prioridad","Baja prioridad"))</f>
        <v/>
      </c>
    </row>
    <row r="11">
      <c r="A11" s="11" t="inlineStr">
        <is>
          <t>Espárrago</t>
        </is>
      </c>
      <c r="B11" s="44">
        <f>Contabilidad!F11</f>
        <v/>
      </c>
      <c r="C11" s="45">
        <f>Probabilidad!F11</f>
        <v/>
      </c>
      <c r="D11" s="46">
        <f>"Calculo Integral"!D11</f>
        <v/>
      </c>
      <c r="E11" s="47">
        <f>RANK(B11,B4:B13,0)</f>
        <v/>
      </c>
      <c r="F11" s="16">
        <f>IF(E11&lt;=3,"Alta prioridad",IF(E11&lt;=6,"Media prioridad","Baja prioridad"))</f>
        <v/>
      </c>
    </row>
    <row r="12">
      <c r="A12" s="38" t="inlineStr">
        <is>
          <t>Brócoli</t>
        </is>
      </c>
      <c r="B12" s="39">
        <f>Contabilidad!F12</f>
        <v/>
      </c>
      <c r="C12" s="40">
        <f>Probabilidad!F12</f>
        <v/>
      </c>
      <c r="D12" s="41">
        <f>"Calculo Integral"!D12</f>
        <v/>
      </c>
      <c r="E12" s="42">
        <f>RANK(B12,B4:B13,0)</f>
        <v/>
      </c>
      <c r="F12" s="43">
        <f>IF(E12&lt;=3,"Alta prioridad",IF(E12&lt;=6,"Media prioridad","Baja prioridad"))</f>
        <v/>
      </c>
    </row>
    <row r="13">
      <c r="A13" s="11" t="inlineStr">
        <is>
          <t>Naranja</t>
        </is>
      </c>
      <c r="B13" s="44">
        <f>Contabilidad!F13</f>
        <v/>
      </c>
      <c r="C13" s="45">
        <f>Probabilidad!F13</f>
        <v/>
      </c>
      <c r="D13" s="46">
        <f>"Calculo Integral"!D13</f>
        <v/>
      </c>
      <c r="E13" s="47">
        <f>RANK(B13,B4:B13,0)</f>
        <v/>
      </c>
      <c r="F13" s="16">
        <f>IF(E13&lt;=3,"Alta prioridad",IF(E13&lt;=6,"Media prioridad","Baja prioridad"))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2026-04-04T03:57:36Z</dcterms:created>
  <dcterms:modified xmlns:dcterms="http://purl.org/dc/terms/" xmlns:xsi="http://www.w3.org/2001/XMLSchema-instance" xsi:type="dcterms:W3CDTF">2026-04-04T03:57:36Z</dcterms:modified>
</cp:coreProperties>
</file>